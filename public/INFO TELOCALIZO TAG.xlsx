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crm\public\"/>
    </mc:Choice>
  </mc:AlternateContent>
  <xr:revisionPtr revIDLastSave="0" documentId="8_{C1245598-7426-48F0-B89F-4918F32DD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wk0GbzE7P0NrMvp4o1Y2l4BUHWbtQgcCd9qNHAwSIQ="/>
    </ext>
  </extLst>
</workbook>
</file>

<file path=xl/calcChain.xml><?xml version="1.0" encoding="utf-8"?>
<calcChain xmlns="http://schemas.openxmlformats.org/spreadsheetml/2006/main">
  <c r="H17" i="1" l="1"/>
  <c r="H19" i="1" s="1"/>
  <c r="C12" i="1"/>
  <c r="L12" i="1"/>
  <c r="K12" i="1"/>
  <c r="J12" i="1"/>
  <c r="I12" i="1"/>
  <c r="H12" i="1"/>
</calcChain>
</file>

<file path=xl/sharedStrings.xml><?xml version="1.0" encoding="utf-8"?>
<sst xmlns="http://schemas.openxmlformats.org/spreadsheetml/2006/main" count="75" uniqueCount="40">
  <si>
    <t xml:space="preserve">CLIENTE </t>
  </si>
  <si>
    <t xml:space="preserve">PRODUCTO </t>
  </si>
  <si>
    <t xml:space="preserve">CANTIDAD </t>
  </si>
  <si>
    <t xml:space="preserve">FECHA ORDEN </t>
  </si>
  <si>
    <t xml:space="preserve">FECHA ENTREGA </t>
  </si>
  <si>
    <t xml:space="preserve">TIPO DE ORDEN </t>
  </si>
  <si>
    <t>FECHA PAGO HOKO / BOLD</t>
  </si>
  <si>
    <t>VALOR TOTAL</t>
  </si>
  <si>
    <t xml:space="preserve">PAGO HOKO / BOLD </t>
  </si>
  <si>
    <t xml:space="preserve">VALOR ENVIO </t>
  </si>
  <si>
    <t>VALOR FULFILLMENT</t>
  </si>
  <si>
    <t>TRANSPORTADORA</t>
  </si>
  <si>
    <t xml:space="preserve">BODEGA </t>
  </si>
  <si>
    <t xml:space="preserve">OBSERVACIONES </t>
  </si>
  <si>
    <t>FRAN ALEXIS SERNA CARDONA</t>
  </si>
  <si>
    <t xml:space="preserve">NANO TRACK </t>
  </si>
  <si>
    <t xml:space="preserve">CREDITO </t>
  </si>
  <si>
    <t xml:space="preserve">ENVIA </t>
  </si>
  <si>
    <t xml:space="preserve">BOGOTA </t>
  </si>
  <si>
    <t>OK APP</t>
  </si>
  <si>
    <t xml:space="preserve">LUCAS VELEZ </t>
  </si>
  <si>
    <t>RECAUDO</t>
  </si>
  <si>
    <t>HOKO</t>
  </si>
  <si>
    <t xml:space="preserve">MEDELLIN </t>
  </si>
  <si>
    <t xml:space="preserve">BENHUR GUZMAN CARTAGENA </t>
  </si>
  <si>
    <t>PENDINETE APP</t>
  </si>
  <si>
    <t xml:space="preserve">JULIO CESAR CAÑAS CUESTA </t>
  </si>
  <si>
    <t xml:space="preserve">INTER RAPIDISIMO </t>
  </si>
  <si>
    <t xml:space="preserve">FRAN JOHAN VALDERRAMA CARVAJAL </t>
  </si>
  <si>
    <t xml:space="preserve">SAMUEL PEREZ </t>
  </si>
  <si>
    <t xml:space="preserve">JOSE CORDOBA MONTOYA </t>
  </si>
  <si>
    <t xml:space="preserve">FREDY GILBERTO ROMERO </t>
  </si>
  <si>
    <t xml:space="preserve">JHON FREDY GUTIERREZ </t>
  </si>
  <si>
    <t xml:space="preserve">COMISION BOLD </t>
  </si>
  <si>
    <t xml:space="preserve">COSTO EQUIPO/ DR MAURICIO </t>
  </si>
  <si>
    <t xml:space="preserve">LIQUIDACION </t>
  </si>
  <si>
    <t xml:space="preserve">GASTOS COMISION Y ENVIOS </t>
  </si>
  <si>
    <t xml:space="preserve">COSTO EQUIPOS </t>
  </si>
  <si>
    <t>TOTAL VENTA</t>
  </si>
  <si>
    <t xml:space="preserve">UTILIDAD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</si>
</sst>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d/m/yyyy"/>
    <numFmt numFmtId="166" formatCode="dd\-mm\-yy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6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/>
    <xf numFmtId="0" fontId="1" fillId="0" borderId="2" xfId="0" applyFont="1" applyBorder="1"/>
    <xf numFmtId="164" fontId="0" fillId="0" borderId="2" xfId="0" applyNumberForma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/>
  </sheetViews>
  <sheetFormatPr baseColWidth="10" defaultColWidth="11.1640625" defaultRowHeight="15" customHeight="1" x14ac:dyDescent="0.35"/>
  <cols>
    <col min="1" max="1" width="36.5" customWidth="1"/>
    <col min="2" max="3" width="21.6640625" customWidth="1"/>
    <col min="4" max="4" width="15" customWidth="1"/>
    <col min="5" max="6" width="16.83203125" customWidth="1"/>
    <col min="7" max="7" width="27.1640625" customWidth="1"/>
    <col min="8" max="8" width="14.33203125" customWidth="1"/>
    <col min="9" max="10" width="20.6640625" customWidth="1"/>
    <col min="11" max="11" width="16.33203125" customWidth="1"/>
    <col min="12" max="12" width="30.6640625" customWidth="1"/>
    <col min="13" max="13" width="20.1640625" customWidth="1"/>
    <col min="14" max="14" width="18.6640625" customWidth="1"/>
    <col min="15" max="15" width="10.5" customWidth="1"/>
    <col min="16" max="16" width="14.5" customWidth="1"/>
    <col min="17" max="28" width="10.5" customWidth="1"/>
  </cols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9</v>
      </c>
      <c r="L1" s="1" t="s">
        <v>34</v>
      </c>
      <c r="M1" s="1" t="s">
        <v>10</v>
      </c>
      <c r="N1" s="1" t="s">
        <v>11</v>
      </c>
      <c r="O1" s="1" t="s">
        <v>12</v>
      </c>
      <c r="P1" s="2" t="s">
        <v>13</v>
      </c>
    </row>
    <row r="2" spans="1:16" ht="15.75" customHeight="1" x14ac:dyDescent="0.35">
      <c r="A2" s="1" t="s">
        <v>14</v>
      </c>
      <c r="B2" s="1" t="s">
        <v>15</v>
      </c>
      <c r="C2" s="1">
        <v>1</v>
      </c>
      <c r="D2" s="3">
        <v>46203</v>
      </c>
      <c r="E2" s="3">
        <v>46213</v>
      </c>
      <c r="F2" s="3" t="s">
        <v>16</v>
      </c>
      <c r="G2" s="4">
        <v>46203</v>
      </c>
      <c r="H2" s="5">
        <v>199000</v>
      </c>
      <c r="I2" s="6">
        <v>181587</v>
      </c>
      <c r="J2" s="6">
        <v>7301</v>
      </c>
      <c r="K2" s="5">
        <v>10112</v>
      </c>
      <c r="L2" s="5">
        <v>30000</v>
      </c>
      <c r="M2" s="1"/>
      <c r="N2" s="1" t="s">
        <v>17</v>
      </c>
      <c r="O2" s="1" t="s">
        <v>18</v>
      </c>
      <c r="P2" s="2" t="s">
        <v>19</v>
      </c>
    </row>
    <row r="3" spans="1:16" ht="15.75" customHeight="1" x14ac:dyDescent="0.35">
      <c r="A3" s="1" t="s">
        <v>20</v>
      </c>
      <c r="B3" s="1" t="s">
        <v>15</v>
      </c>
      <c r="C3" s="1">
        <v>1</v>
      </c>
      <c r="D3" s="3">
        <v>46206</v>
      </c>
      <c r="E3" s="3">
        <v>46209</v>
      </c>
      <c r="F3" s="1" t="s">
        <v>21</v>
      </c>
      <c r="G3" s="3">
        <v>46210</v>
      </c>
      <c r="H3" s="5">
        <v>199000</v>
      </c>
      <c r="I3" s="5">
        <v>185000</v>
      </c>
      <c r="J3" s="5"/>
      <c r="K3" s="5">
        <v>14000</v>
      </c>
      <c r="L3" s="5">
        <v>30000</v>
      </c>
      <c r="M3" s="1"/>
      <c r="N3" s="1" t="s">
        <v>22</v>
      </c>
      <c r="O3" s="1" t="s">
        <v>23</v>
      </c>
      <c r="P3" s="2" t="s">
        <v>19</v>
      </c>
    </row>
    <row r="4" spans="1:16" ht="15.75" customHeight="1" x14ac:dyDescent="0.35">
      <c r="A4" s="1" t="s">
        <v>24</v>
      </c>
      <c r="B4" s="1" t="s">
        <v>15</v>
      </c>
      <c r="C4" s="1">
        <v>1</v>
      </c>
      <c r="D4" s="3">
        <v>46211</v>
      </c>
      <c r="E4" s="3">
        <v>46214</v>
      </c>
      <c r="F4" s="1" t="s">
        <v>21</v>
      </c>
      <c r="G4" s="3">
        <v>46219</v>
      </c>
      <c r="H4" s="5">
        <v>199000</v>
      </c>
      <c r="I4" s="5">
        <v>177975</v>
      </c>
      <c r="J4" s="5"/>
      <c r="K4" s="5">
        <v>21025</v>
      </c>
      <c r="L4" s="5">
        <v>30000</v>
      </c>
      <c r="M4" s="1"/>
      <c r="N4" s="1" t="s">
        <v>17</v>
      </c>
      <c r="O4" s="1" t="s">
        <v>18</v>
      </c>
      <c r="P4" s="2" t="s">
        <v>25</v>
      </c>
    </row>
    <row r="5" spans="1:16" ht="15.75" customHeight="1" x14ac:dyDescent="0.35">
      <c r="A5" s="1" t="s">
        <v>26</v>
      </c>
      <c r="B5" s="1" t="s">
        <v>15</v>
      </c>
      <c r="C5" s="1">
        <v>2</v>
      </c>
      <c r="D5" s="3">
        <v>46217</v>
      </c>
      <c r="E5" s="3">
        <v>46220</v>
      </c>
      <c r="F5" s="1" t="s">
        <v>21</v>
      </c>
      <c r="G5" s="7">
        <v>46234</v>
      </c>
      <c r="H5" s="5">
        <v>318400</v>
      </c>
      <c r="I5" s="12">
        <v>279099</v>
      </c>
      <c r="J5" s="8"/>
      <c r="K5" s="5">
        <v>39301</v>
      </c>
      <c r="L5" s="5">
        <v>60000</v>
      </c>
      <c r="M5" s="1"/>
      <c r="N5" s="1" t="s">
        <v>27</v>
      </c>
      <c r="O5" s="1" t="s">
        <v>18</v>
      </c>
      <c r="P5" s="2" t="s">
        <v>19</v>
      </c>
    </row>
    <row r="6" spans="1:16" ht="15.75" customHeight="1" x14ac:dyDescent="0.35">
      <c r="A6" s="1" t="s">
        <v>28</v>
      </c>
      <c r="B6" s="1" t="s">
        <v>15</v>
      </c>
      <c r="C6" s="1">
        <v>2</v>
      </c>
      <c r="D6" s="3">
        <v>46223</v>
      </c>
      <c r="E6" s="7">
        <v>46227</v>
      </c>
      <c r="F6" s="1" t="s">
        <v>21</v>
      </c>
      <c r="G6" s="7">
        <v>46230</v>
      </c>
      <c r="H6" s="5">
        <v>318400</v>
      </c>
      <c r="I6" s="12">
        <v>292898</v>
      </c>
      <c r="J6" s="8"/>
      <c r="K6" s="5">
        <v>25502</v>
      </c>
      <c r="L6" s="5">
        <v>60000</v>
      </c>
      <c r="M6" s="1"/>
      <c r="N6" s="1" t="s">
        <v>17</v>
      </c>
      <c r="O6" s="1" t="s">
        <v>18</v>
      </c>
      <c r="P6" s="2" t="s">
        <v>19</v>
      </c>
    </row>
    <row r="7" spans="1:16" ht="15.75" customHeight="1" x14ac:dyDescent="0.35">
      <c r="A7" s="1" t="s">
        <v>29</v>
      </c>
      <c r="B7" s="1" t="s">
        <v>15</v>
      </c>
      <c r="C7" s="1">
        <v>1</v>
      </c>
      <c r="D7" s="3">
        <v>46224</v>
      </c>
      <c r="E7" s="7">
        <v>46234</v>
      </c>
      <c r="F7" s="1" t="s">
        <v>16</v>
      </c>
      <c r="G7" s="7">
        <v>46223</v>
      </c>
      <c r="H7" s="5">
        <v>199000</v>
      </c>
      <c r="I7" s="12">
        <v>181587</v>
      </c>
      <c r="J7" s="12">
        <v>7301</v>
      </c>
      <c r="K7" s="5">
        <v>10112</v>
      </c>
      <c r="L7" s="5">
        <v>30000</v>
      </c>
      <c r="M7" s="1"/>
      <c r="N7" s="1" t="s">
        <v>17</v>
      </c>
      <c r="O7" s="1" t="s">
        <v>18</v>
      </c>
      <c r="P7" s="2" t="s">
        <v>25</v>
      </c>
    </row>
    <row r="8" spans="1:16" ht="15.75" customHeight="1" x14ac:dyDescent="0.35">
      <c r="A8" s="2" t="s">
        <v>30</v>
      </c>
      <c r="B8" s="2" t="s">
        <v>15</v>
      </c>
      <c r="C8" s="2">
        <v>1</v>
      </c>
      <c r="D8" s="9">
        <v>46231</v>
      </c>
      <c r="E8" s="9">
        <v>46231</v>
      </c>
      <c r="F8" s="2" t="s">
        <v>21</v>
      </c>
      <c r="G8" s="9">
        <v>46233</v>
      </c>
      <c r="H8" s="13">
        <v>199000</v>
      </c>
      <c r="I8" s="13">
        <v>185000</v>
      </c>
      <c r="J8" s="10"/>
      <c r="K8" s="13">
        <v>14000</v>
      </c>
      <c r="L8" s="13">
        <v>30000</v>
      </c>
      <c r="M8" s="2"/>
      <c r="N8" s="2" t="s">
        <v>22</v>
      </c>
      <c r="O8" s="2" t="s">
        <v>23</v>
      </c>
      <c r="P8" s="2" t="s">
        <v>19</v>
      </c>
    </row>
    <row r="9" spans="1:16" ht="15.75" customHeight="1" x14ac:dyDescent="0.35">
      <c r="A9" s="2" t="s">
        <v>31</v>
      </c>
      <c r="B9" s="2" t="s">
        <v>15</v>
      </c>
      <c r="C9" s="2">
        <v>1</v>
      </c>
      <c r="D9" s="9">
        <v>46233</v>
      </c>
      <c r="E9" s="9">
        <v>46233</v>
      </c>
      <c r="F9" s="2" t="s">
        <v>21</v>
      </c>
      <c r="G9" s="9">
        <v>46234</v>
      </c>
      <c r="H9" s="13">
        <v>199000</v>
      </c>
      <c r="I9" s="13">
        <v>184000</v>
      </c>
      <c r="J9" s="10"/>
      <c r="K9" s="13">
        <v>15000</v>
      </c>
      <c r="L9" s="13">
        <v>30000</v>
      </c>
      <c r="M9" s="2"/>
      <c r="N9" s="2" t="s">
        <v>22</v>
      </c>
      <c r="O9" s="2" t="s">
        <v>18</v>
      </c>
      <c r="P9" s="2" t="s">
        <v>25</v>
      </c>
    </row>
    <row r="10" spans="1:16" ht="15.75" customHeight="1" x14ac:dyDescent="0.35">
      <c r="A10" s="2" t="s">
        <v>32</v>
      </c>
      <c r="B10" s="2" t="s">
        <v>15</v>
      </c>
      <c r="C10" s="2">
        <v>1</v>
      </c>
      <c r="D10" s="9">
        <v>46233</v>
      </c>
      <c r="E10" s="9">
        <v>46233</v>
      </c>
      <c r="F10" s="2" t="s">
        <v>21</v>
      </c>
      <c r="G10" s="9">
        <v>46234</v>
      </c>
      <c r="H10" s="13">
        <v>199000</v>
      </c>
      <c r="I10" s="13">
        <v>185000</v>
      </c>
      <c r="J10" s="10"/>
      <c r="K10" s="13">
        <v>14000</v>
      </c>
      <c r="L10" s="13">
        <v>30000</v>
      </c>
      <c r="M10" s="2"/>
      <c r="N10" s="2" t="s">
        <v>22</v>
      </c>
      <c r="O10" s="2" t="s">
        <v>23</v>
      </c>
      <c r="P10" s="2" t="s">
        <v>25</v>
      </c>
    </row>
    <row r="11" spans="1:16" ht="15.75" customHeight="1" x14ac:dyDescent="0.35">
      <c r="I11" s="11"/>
      <c r="J11" s="11"/>
      <c r="K11" s="11"/>
      <c r="L11" s="11"/>
    </row>
    <row r="12" spans="1:16" ht="15.75" customHeight="1" x14ac:dyDescent="0.35">
      <c r="C12">
        <f>SUM(C2:C11)</f>
        <v>11</v>
      </c>
      <c r="H12" s="15">
        <f>SUM(H2:H11)</f>
        <v>2029800</v>
      </c>
      <c r="I12" s="14">
        <f>SUM(I2:I11)</f>
        <v>1852146</v>
      </c>
      <c r="J12" s="14">
        <f>SUM(J2:J11)</f>
        <v>14602</v>
      </c>
      <c r="K12" s="14">
        <f>SUM(K2:K11)</f>
        <v>163052</v>
      </c>
      <c r="L12" s="14">
        <f>SUM(L2:L11)</f>
        <v>330000</v>
      </c>
    </row>
    <row r="13" spans="1:16" ht="15.75" customHeight="1" x14ac:dyDescent="0.35">
      <c r="H13" s="15"/>
      <c r="I13" s="14"/>
      <c r="J13" s="14"/>
      <c r="K13" s="14"/>
      <c r="L13" s="14"/>
    </row>
    <row r="14" spans="1:16" ht="15.75" customHeight="1" x14ac:dyDescent="0.35">
      <c r="G14" s="18" t="s">
        <v>35</v>
      </c>
      <c r="H14" s="18"/>
      <c r="I14" s="11"/>
      <c r="J14" s="11"/>
    </row>
    <row r="15" spans="1:16" ht="15.75" customHeight="1" x14ac:dyDescent="0.35">
      <c r="I15" s="11"/>
      <c r="J15" s="11"/>
    </row>
    <row r="16" spans="1:16" ht="15.75" customHeight="1" x14ac:dyDescent="0.35">
      <c r="G16" s="16" t="s">
        <v>38</v>
      </c>
      <c r="H16" s="17">
        <v>2029800</v>
      </c>
      <c r="I16" s="14"/>
      <c r="J16" s="11"/>
    </row>
    <row r="17" spans="7:10" ht="15.75" customHeight="1" x14ac:dyDescent="0.35">
      <c r="G17" s="16" t="s">
        <v>36</v>
      </c>
      <c r="H17" s="17">
        <f>J12+K12</f>
        <v>177654</v>
      </c>
      <c r="I17" s="11"/>
      <c r="J17" s="11"/>
    </row>
    <row r="18" spans="7:10" ht="15.75" customHeight="1" x14ac:dyDescent="0.35">
      <c r="G18" s="16" t="s">
        <v>37</v>
      </c>
      <c r="H18" s="17">
        <v>330000</v>
      </c>
      <c r="I18" s="11"/>
      <c r="J18" s="11"/>
    </row>
    <row r="19" spans="7:10" ht="15.75" customHeight="1" x14ac:dyDescent="0.35">
      <c r="G19" s="16" t="s">
        <v>39</v>
      </c>
      <c r="H19" s="17">
        <f>H16-H17-H18</f>
        <v>1522146</v>
      </c>
      <c r="I19" s="11"/>
      <c r="J19" s="11"/>
    </row>
    <row r="20" spans="7:10" ht="15.75" customHeight="1" x14ac:dyDescent="0.35"/>
    <row r="21" spans="7:10" ht="15.75" customHeight="1" x14ac:dyDescent="0.35"/>
    <row r="22" spans="7:10" ht="15.75" customHeight="1" x14ac:dyDescent="0.35"/>
    <row r="23" spans="7:10" ht="15.75" customHeight="1" x14ac:dyDescent="0.35"/>
    <row r="24" spans="7:10" ht="15.75" customHeight="1" x14ac:dyDescent="0.35"/>
    <row r="25" spans="7:10" ht="15.75" customHeight="1" x14ac:dyDescent="0.35"/>
    <row r="26" spans="7:10" ht="15.75" customHeight="1" x14ac:dyDescent="0.35"/>
    <row r="27" spans="7:10" ht="15.75" customHeight="1" x14ac:dyDescent="0.35"/>
    <row r="28" spans="7:10" ht="15.75" customHeight="1" x14ac:dyDescent="0.35"/>
    <row r="29" spans="7:10" ht="15.75" customHeight="1" x14ac:dyDescent="0.35"/>
    <row r="30" spans="7:10" ht="15.75" customHeight="1" x14ac:dyDescent="0.35"/>
    <row r="31" spans="7:10" ht="15.75" customHeight="1" x14ac:dyDescent="0.35"/>
    <row r="32" spans="7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G14:H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2026-07-15T23:03:15Z</dcterms:created>
  <dcterms:modified xsi:type="dcterms:W3CDTF">2026-08-02T00:14:22Z</dcterms:modified>
</cp:coreProperties>
</file>